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ders Tracker" sheetId="1" state="visible" r:id="rId3"/>
    <sheet name="Delivery Checklis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<sst xmlns="http://schemas.openxmlformats.org/spreadsheetml/2006/main" count="55" uniqueCount="55">
  <si>
    <t xml:space="preserve">Student Order Tracker</t>
  </si>
  <si>
    <t xml:space="preserve">Total orders</t>
  </si>
  <si>
    <t xml:space="preserve">Total revenue charged (₹)</t>
  </si>
  <si>
    <t xml:space="preserve">Total collected (₹)</t>
  </si>
  <si>
    <t xml:space="preserve">Total pending (₹)</t>
  </si>
  <si>
    <t xml:space="preserve">Order ID</t>
  </si>
  <si>
    <t xml:space="preserve">Student Name</t>
  </si>
  <si>
    <t xml:space="preserve">College</t>
  </si>
  <si>
    <t xml:space="preserve">Contact</t>
  </si>
  <si>
    <t xml:space="preserve">Project Type</t>
  </si>
  <si>
    <t xml:space="preserve">Order Date</t>
  </si>
  <si>
    <t xml:space="preserve">Package Tier</t>
  </si>
  <si>
    <t xml:space="preserve">Price Charged (₹)</t>
  </si>
  <si>
    <t xml:space="preserve">Amount Paid (₹)</t>
  </si>
  <si>
    <t xml:space="preserve">Balance Due (₹)</t>
  </si>
  <si>
    <t xml:space="preserve">Payment Status</t>
  </si>
  <si>
    <t xml:space="preserve">Delivery Status</t>
  </si>
  <si>
    <t xml:space="preserve">Submission Deadline</t>
  </si>
  <si>
    <t xml:space="preserve">Follow-up Date</t>
  </si>
  <si>
    <t xml:space="preserve">Uniqueness Notes</t>
  </si>
  <si>
    <t xml:space="preserve">General Notes</t>
  </si>
  <si>
    <t xml:space="preserve">ORD-001</t>
  </si>
  <si>
    <t xml:space="preserve">Priya Sharma</t>
  </si>
  <si>
    <t xml:space="preserve">ABC Institute of Technology</t>
  </si>
  <si>
    <t xml:space="preserve">priya.s@example.com</t>
  </si>
  <si>
    <t xml:space="preserve">Mini Project</t>
  </si>
  <si>
    <t xml:space="preserve">2026-01-15</t>
  </si>
  <si>
    <t xml:space="preserve">Full Package</t>
  </si>
  <si>
    <t xml:space="preserve">In Progress</t>
  </si>
  <si>
    <t xml:space="preserve">2026-03-20</t>
  </si>
  <si>
    <t xml:space="preserve">2026-03-10</t>
  </si>
  <si>
    <t xml:space="preserve">Changed demo PDF domain to legal contracts instead of the generic sample</t>
  </si>
  <si>
    <t xml:space="preserve">Paid 50% upfront, remainder on delivery</t>
  </si>
  <si>
    <t xml:space="preserve">Legend</t>
  </si>
  <si>
    <t xml:space="preserve">Fill in yourself</t>
  </si>
  <si>
    <t xml:space="preserve">Auto-calculated — don't edit</t>
  </si>
  <si>
    <t xml:space="preserve">Per-Order Delivery Checklist</t>
  </si>
  <si>
    <t xml:space="preserve">Same steps for every order — use the Notes column to jot order-specific details</t>
  </si>
  <si>
    <t xml:space="preserve">#</t>
  </si>
  <si>
    <t xml:space="preserve">Step</t>
  </si>
  <si>
    <t xml:space="preserve">Done?</t>
  </si>
  <si>
    <t xml:space="preserve">Notes</t>
  </si>
  <si>
    <t xml:space="preserve">Confirm package tier and price with the student before starting</t>
  </si>
  <si>
    <t xml:space="preserve">Collect student details: name, roll number, college, department, guide, HOD, academic year, submission month</t>
  </si>
  <si>
    <t xml:space="preserve">Update student_config.json with the student's details</t>
  </si>
  <si>
    <t xml:space="preserve">Run scripts/generate_all.sh to regenerate the report and presentation</t>
  </si>
  <si>
    <t xml:space="preserve">Replace Chapter 7 screenshot placeholders in the report with real app screenshots</t>
  </si>
  <si>
    <t xml:space="preserve">Replace the Demo slide placeholders in the presentation with real screenshots</t>
  </si>
  <si>
    <t xml:space="preserve">Open the report in Word: right-click the Table of Contents → Update Field → Update entire table</t>
  </si>
  <si>
    <t xml:space="preserve">Confirm whether the student's department requires IEEE or APA references specifically</t>
  </si>
  <si>
    <t xml:space="preserve">Vary something so this submission doesn't match another student's 1:1 (see notes column for ideas)</t>
  </si>
  <si>
    <t xml:space="preserve">Final read-through of report and slides for leftover placeholder text or brackets</t>
  </si>
  <si>
    <t xml:space="preserve">Package and send: report docx, presentation pptx, viva_question_bank.md</t>
  </si>
  <si>
    <t xml:space="preserve">Update Orders Tracker: payment status, delivery status, and dates</t>
  </si>
  <si>
    <t xml:space="preserve">Set a follow-up reminder around the student's viva date to check how it went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</si>
</sst>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\₹#,##0;&quot;(₹&quot;#,##0\)"/>
    <numFmt numFmtId="167" formatCode="\₹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B3D62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F6E5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i val="true"/>
      <sz val="10"/>
      <color rgb="FF666666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B3D62"/>
        <bgColor rgb="FF333399"/>
      </patternFill>
    </fill>
    <fill>
      <patternFill patternType="solid">
        <fgColor rgb="FFFFF9E6"/>
        <bgColor rgb="FFFFFFFF"/>
      </patternFill>
    </fill>
    <fill>
      <patternFill patternType="solid">
        <fgColor rgb="FFF0F0F0"/>
        <bgColor rgb="FFFFF9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6E56"/>
      <rgbColor rgb="FFC0C0C0"/>
      <rgbColor rgb="FF808080"/>
      <rgbColor rgb="FF9999FF"/>
      <rgbColor rgb="FF993366"/>
      <rgbColor rgb="FFFFF9E6"/>
      <rgbColor rgb="FFF0F0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B3D62"/>
      <rgbColor rgb="FF339966"/>
      <rgbColor rgb="FF003300"/>
      <rgbColor rgb="FF333300"/>
      <rgbColor rgb="FF993300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20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9" min="8" style="0" width="14"/>
    <col collapsed="false" customWidth="true" hidden="false" outlineLevel="0" max="12" min="10" style="0" width="13"/>
    <col collapsed="false" customWidth="true" hidden="false" outlineLevel="0" max="13" min="13" style="0" width="15"/>
    <col collapsed="false" customWidth="true" hidden="false" outlineLevel="0" max="14" min="14" style="0" width="13"/>
    <col collapsed="false" customWidth="true" hidden="false" outlineLevel="0" max="15" min="15" style="0" width="28"/>
    <col collapsed="false" customWidth="true" hidden="false" outlineLevel="0" max="16" min="16" style="0" width="24"/>
  </cols>
  <sheetData>
    <row r="1" customFormat="false" ht="19.7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n">
        <f aca="false">COUNTA(B9:B200)</f>
        <v>1</v>
      </c>
    </row>
    <row r="4" customFormat="false" ht="15" hidden="false" customHeight="false" outlineLevel="0" collapsed="false">
      <c r="A4" s="2" t="s">
        <v>2</v>
      </c>
      <c r="B4" s="4" t="n">
        <f aca="false">SUM(H9:H200)</f>
        <v>10000</v>
      </c>
    </row>
    <row r="5" customFormat="false" ht="15" hidden="false" customHeight="false" outlineLevel="0" collapsed="false">
      <c r="A5" s="2" t="s">
        <v>3</v>
      </c>
      <c r="B5" s="4" t="n">
        <f aca="false">SUM(I9:I200)</f>
        <v>5000</v>
      </c>
    </row>
    <row r="6" customFormat="false" ht="15" hidden="false" customHeight="false" outlineLevel="0" collapsed="false">
      <c r="A6" s="2" t="s">
        <v>4</v>
      </c>
      <c r="B6" s="4" t="n">
        <f aca="false">B4-B5</f>
        <v>5000</v>
      </c>
    </row>
    <row r="8" customFormat="false" ht="26.85" hidden="false" customHeight="false" outlineLevel="0" collapsed="false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5" t="s">
        <v>12</v>
      </c>
      <c r="I8" s="5" t="s">
        <v>13</v>
      </c>
      <c r="J8" s="5" t="s">
        <v>14</v>
      </c>
      <c r="K8" s="5" t="s">
        <v>15</v>
      </c>
      <c r="L8" s="5" t="s">
        <v>16</v>
      </c>
      <c r="M8" s="5" t="s">
        <v>17</v>
      </c>
      <c r="N8" s="5" t="s">
        <v>18</v>
      </c>
      <c r="O8" s="5" t="s">
        <v>19</v>
      </c>
      <c r="P8" s="5" t="s">
        <v>20</v>
      </c>
    </row>
    <row r="9" customFormat="false" ht="15" hidden="false" customHeight="false" outlineLevel="0" collapsed="false">
      <c r="A9" s="6" t="s">
        <v>21</v>
      </c>
      <c r="B9" s="6" t="s">
        <v>22</v>
      </c>
      <c r="C9" s="6" t="s">
        <v>23</v>
      </c>
      <c r="D9" s="6" t="s">
        <v>24</v>
      </c>
      <c r="E9" s="6" t="s">
        <v>25</v>
      </c>
      <c r="F9" s="6" t="s">
        <v>26</v>
      </c>
      <c r="G9" s="6" t="s">
        <v>27</v>
      </c>
      <c r="H9" s="7" t="n">
        <v>10000</v>
      </c>
      <c r="I9" s="7" t="n">
        <v>5000</v>
      </c>
      <c r="J9" s="8" t="n">
        <f aca="false">IF(H9="","",H9-I9)</f>
        <v>5000</v>
      </c>
      <c r="K9" s="9" t="str">
        <f aca="false">IF(H9="","",IF(J9&lt;=0,"Paid",IF(I9=0,"Pending","Partial")))</f>
        <v>Partial</v>
      </c>
      <c r="L9" s="6" t="s">
        <v>28</v>
      </c>
      <c r="M9" s="6" t="s">
        <v>29</v>
      </c>
      <c r="N9" s="6" t="s">
        <v>30</v>
      </c>
      <c r="O9" s="6" t="s">
        <v>31</v>
      </c>
      <c r="P9" s="6" t="s">
        <v>32</v>
      </c>
    </row>
    <row r="10" customFormat="false" ht="15" hidden="false" customHeight="false" outlineLevel="0" collapsed="false">
      <c r="A10" s="6"/>
      <c r="B10" s="6"/>
      <c r="C10" s="6"/>
      <c r="D10" s="6"/>
      <c r="E10" s="6"/>
      <c r="F10" s="6"/>
      <c r="G10" s="6"/>
      <c r="H10" s="7"/>
      <c r="I10" s="7"/>
      <c r="J10" s="8" t="str">
        <f aca="false">IF(H10="","",H10-I10)</f>
        <v/>
      </c>
      <c r="K10" s="9" t="str">
        <f aca="false">IF(H10="","",IF(J10&lt;=0,"Paid",IF(I10=0,"Pending","Partial")))</f>
        <v/>
      </c>
      <c r="L10" s="6"/>
      <c r="M10" s="6"/>
      <c r="N10" s="6"/>
      <c r="O10" s="6"/>
      <c r="P10" s="6"/>
    </row>
    <row r="11" customFormat="false" ht="15" hidden="false" customHeight="false" outlineLevel="0" collapsed="false">
      <c r="A11" s="6"/>
      <c r="B11" s="6"/>
      <c r="C11" s="6"/>
      <c r="D11" s="6"/>
      <c r="E11" s="6"/>
      <c r="F11" s="6"/>
      <c r="G11" s="6"/>
      <c r="H11" s="7"/>
      <c r="I11" s="7"/>
      <c r="J11" s="8" t="str">
        <f aca="false">IF(H11="","",H11-I11)</f>
        <v/>
      </c>
      <c r="K11" s="9" t="str">
        <f aca="false">IF(H11="","",IF(J11&lt;=0,"Paid",IF(I11=0,"Pending","Partial")))</f>
        <v/>
      </c>
      <c r="L11" s="6"/>
      <c r="M11" s="6"/>
      <c r="N11" s="6"/>
      <c r="O11" s="6"/>
      <c r="P11" s="6"/>
    </row>
    <row r="12" customFormat="false" ht="15" hidden="false" customHeight="false" outlineLevel="0" collapsed="false">
      <c r="A12" s="6"/>
      <c r="B12" s="6"/>
      <c r="C12" s="6"/>
      <c r="D12" s="6"/>
      <c r="E12" s="6"/>
      <c r="F12" s="6"/>
      <c r="G12" s="6"/>
      <c r="H12" s="7"/>
      <c r="I12" s="7"/>
      <c r="J12" s="8" t="str">
        <f aca="false">IF(H12="","",H12-I12)</f>
        <v/>
      </c>
      <c r="K12" s="9" t="str">
        <f aca="false">IF(H12="","",IF(J12&lt;=0,"Paid",IF(I12=0,"Pending","Partial")))</f>
        <v/>
      </c>
      <c r="L12" s="6"/>
      <c r="M12" s="6"/>
      <c r="N12" s="6"/>
      <c r="O12" s="6"/>
      <c r="P12" s="6"/>
    </row>
    <row r="13" customFormat="false" ht="15" hidden="false" customHeight="false" outlineLevel="0" collapsed="false">
      <c r="A13" s="6"/>
      <c r="B13" s="6"/>
      <c r="C13" s="6"/>
      <c r="D13" s="6"/>
      <c r="E13" s="6"/>
      <c r="F13" s="6"/>
      <c r="G13" s="6"/>
      <c r="H13" s="7"/>
      <c r="I13" s="7"/>
      <c r="J13" s="8" t="str">
        <f aca="false">IF(H13="","",H13-I13)</f>
        <v/>
      </c>
      <c r="K13" s="9" t="str">
        <f aca="false">IF(H13="","",IF(J13&lt;=0,"Paid",IF(I13=0,"Pending","Partial")))</f>
        <v/>
      </c>
      <c r="L13" s="6"/>
      <c r="M13" s="6"/>
      <c r="N13" s="6"/>
      <c r="O13" s="6"/>
      <c r="P13" s="6"/>
    </row>
    <row r="14" customFormat="false" ht="15" hidden="false" customHeight="false" outlineLevel="0" collapsed="false">
      <c r="A14" s="6"/>
      <c r="B14" s="6"/>
      <c r="C14" s="6"/>
      <c r="D14" s="6"/>
      <c r="E14" s="6"/>
      <c r="F14" s="6"/>
      <c r="G14" s="6"/>
      <c r="H14" s="7"/>
      <c r="I14" s="7"/>
      <c r="J14" s="8" t="str">
        <f aca="false">IF(H14="","",H14-I14)</f>
        <v/>
      </c>
      <c r="K14" s="9" t="str">
        <f aca="false">IF(H14="","",IF(J14&lt;=0,"Paid",IF(I14=0,"Pending","Partial")))</f>
        <v/>
      </c>
      <c r="L14" s="6"/>
      <c r="M14" s="6"/>
      <c r="N14" s="6"/>
      <c r="O14" s="6"/>
      <c r="P14" s="6"/>
    </row>
    <row r="15" customFormat="false" ht="15" hidden="false" customHeight="false" outlineLevel="0" collapsed="false">
      <c r="A15" s="6"/>
      <c r="B15" s="6"/>
      <c r="C15" s="6"/>
      <c r="D15" s="6"/>
      <c r="E15" s="6"/>
      <c r="F15" s="6"/>
      <c r="G15" s="6"/>
      <c r="H15" s="7"/>
      <c r="I15" s="7"/>
      <c r="J15" s="8" t="str">
        <f aca="false">IF(H15="","",H15-I15)</f>
        <v/>
      </c>
      <c r="K15" s="9" t="str">
        <f aca="false">IF(H15="","",IF(J15&lt;=0,"Paid",IF(I15=0,"Pending","Partial")))</f>
        <v/>
      </c>
      <c r="L15" s="6"/>
      <c r="M15" s="6"/>
      <c r="N15" s="6"/>
      <c r="O15" s="6"/>
      <c r="P15" s="6"/>
    </row>
    <row r="16" customFormat="false" ht="15" hidden="false" customHeight="false" outlineLevel="0" collapsed="false">
      <c r="A16" s="6"/>
      <c r="B16" s="6"/>
      <c r="C16" s="6"/>
      <c r="D16" s="6"/>
      <c r="E16" s="6"/>
      <c r="F16" s="6"/>
      <c r="G16" s="6"/>
      <c r="H16" s="7"/>
      <c r="I16" s="7"/>
      <c r="J16" s="8" t="str">
        <f aca="false">IF(H16="","",H16-I16)</f>
        <v/>
      </c>
      <c r="K16" s="9" t="str">
        <f aca="false">IF(H16="","",IF(J16&lt;=0,"Paid",IF(I16=0,"Pending","Partial")))</f>
        <v/>
      </c>
      <c r="L16" s="6"/>
      <c r="M16" s="6"/>
      <c r="N16" s="6"/>
      <c r="O16" s="6"/>
      <c r="P16" s="6"/>
    </row>
    <row r="17" customFormat="false" ht="15" hidden="false" customHeight="false" outlineLevel="0" collapsed="false">
      <c r="A17" s="6"/>
      <c r="B17" s="6"/>
      <c r="C17" s="6"/>
      <c r="D17" s="6"/>
      <c r="E17" s="6"/>
      <c r="F17" s="6"/>
      <c r="G17" s="6"/>
      <c r="H17" s="7"/>
      <c r="I17" s="7"/>
      <c r="J17" s="8" t="str">
        <f aca="false">IF(H17="","",H17-I17)</f>
        <v/>
      </c>
      <c r="K17" s="9" t="str">
        <f aca="false">IF(H17="","",IF(J17&lt;=0,"Paid",IF(I17=0,"Pending","Partial")))</f>
        <v/>
      </c>
      <c r="L17" s="6"/>
      <c r="M17" s="6"/>
      <c r="N17" s="6"/>
      <c r="O17" s="6"/>
      <c r="P17" s="6"/>
    </row>
    <row r="18" customFormat="false" ht="15" hidden="false" customHeight="false" outlineLevel="0" collapsed="false">
      <c r="A18" s="6"/>
      <c r="B18" s="6"/>
      <c r="C18" s="6"/>
      <c r="D18" s="6"/>
      <c r="E18" s="6"/>
      <c r="F18" s="6"/>
      <c r="G18" s="6"/>
      <c r="H18" s="7"/>
      <c r="I18" s="7"/>
      <c r="J18" s="8" t="str">
        <f aca="false">IF(H18="","",H18-I18)</f>
        <v/>
      </c>
      <c r="K18" s="9" t="str">
        <f aca="false">IF(H18="","",IF(J18&lt;=0,"Paid",IF(I18=0,"Pending","Partial")))</f>
        <v/>
      </c>
      <c r="L18" s="6"/>
      <c r="M18" s="6"/>
      <c r="N18" s="6"/>
      <c r="O18" s="6"/>
      <c r="P18" s="6"/>
    </row>
    <row r="19" customFormat="false" ht="15" hidden="false" customHeight="false" outlineLevel="0" collapsed="false">
      <c r="A19" s="6"/>
      <c r="B19" s="6"/>
      <c r="C19" s="6"/>
      <c r="D19" s="6"/>
      <c r="E19" s="6"/>
      <c r="F19" s="6"/>
      <c r="G19" s="6"/>
      <c r="H19" s="7"/>
      <c r="I19" s="7"/>
      <c r="J19" s="8" t="str">
        <f aca="false">IF(H19="","",H19-I19)</f>
        <v/>
      </c>
      <c r="K19" s="9" t="str">
        <f aca="false">IF(H19="","",IF(J19&lt;=0,"Paid",IF(I19=0,"Pending","Partial")))</f>
        <v/>
      </c>
      <c r="L19" s="6"/>
      <c r="M19" s="6"/>
      <c r="N19" s="6"/>
      <c r="O19" s="6"/>
      <c r="P19" s="6"/>
    </row>
    <row r="20" customFormat="false" ht="15" hidden="false" customHeight="false" outlineLevel="0" collapsed="false">
      <c r="A20" s="6"/>
      <c r="B20" s="6"/>
      <c r="C20" s="6"/>
      <c r="D20" s="6"/>
      <c r="E20" s="6"/>
      <c r="F20" s="6"/>
      <c r="G20" s="6"/>
      <c r="H20" s="7"/>
      <c r="I20" s="7"/>
      <c r="J20" s="8" t="str">
        <f aca="false">IF(H20="","",H20-I20)</f>
        <v/>
      </c>
      <c r="K20" s="9" t="str">
        <f aca="false">IF(H20="","",IF(J20&lt;=0,"Paid",IF(I20=0,"Pending","Partial")))</f>
        <v/>
      </c>
      <c r="L20" s="6"/>
      <c r="M20" s="6"/>
      <c r="N20" s="6"/>
      <c r="O20" s="6"/>
      <c r="P20" s="6"/>
    </row>
    <row r="21" customFormat="false" ht="15" hidden="false" customHeight="false" outlineLevel="0" collapsed="false">
      <c r="A21" s="6"/>
      <c r="B21" s="6"/>
      <c r="C21" s="6"/>
      <c r="D21" s="6"/>
      <c r="E21" s="6"/>
      <c r="F21" s="6"/>
      <c r="G21" s="6"/>
      <c r="H21" s="7"/>
      <c r="I21" s="7"/>
      <c r="J21" s="8" t="str">
        <f aca="false">IF(H21="","",H21-I21)</f>
        <v/>
      </c>
      <c r="K21" s="9" t="str">
        <f aca="false">IF(H21="","",IF(J21&lt;=0,"Paid",IF(I21=0,"Pending","Partial")))</f>
        <v/>
      </c>
      <c r="L21" s="6"/>
      <c r="M21" s="6"/>
      <c r="N21" s="6"/>
      <c r="O21" s="6"/>
      <c r="P21" s="6"/>
    </row>
    <row r="22" customFormat="false" ht="15" hidden="false" customHeight="false" outlineLevel="0" collapsed="false">
      <c r="A22" s="6"/>
      <c r="B22" s="6"/>
      <c r="C22" s="6"/>
      <c r="D22" s="6"/>
      <c r="E22" s="6"/>
      <c r="F22" s="6"/>
      <c r="G22" s="6"/>
      <c r="H22" s="7"/>
      <c r="I22" s="7"/>
      <c r="J22" s="8" t="str">
        <f aca="false">IF(H22="","",H22-I22)</f>
        <v/>
      </c>
      <c r="K22" s="9" t="str">
        <f aca="false">IF(H22="","",IF(J22&lt;=0,"Paid",IF(I22=0,"Pending","Partial")))</f>
        <v/>
      </c>
      <c r="L22" s="6"/>
      <c r="M22" s="6"/>
      <c r="N22" s="6"/>
      <c r="O22" s="6"/>
      <c r="P22" s="6"/>
    </row>
    <row r="23" customFormat="false" ht="15" hidden="false" customHeight="false" outlineLevel="0" collapsed="false">
      <c r="A23" s="6"/>
      <c r="B23" s="6"/>
      <c r="C23" s="6"/>
      <c r="D23" s="6"/>
      <c r="E23" s="6"/>
      <c r="F23" s="6"/>
      <c r="G23" s="6"/>
      <c r="H23" s="7"/>
      <c r="I23" s="7"/>
      <c r="J23" s="8" t="str">
        <f aca="false">IF(H23="","",H23-I23)</f>
        <v/>
      </c>
      <c r="K23" s="9" t="str">
        <f aca="false">IF(H23="","",IF(J23&lt;=0,"Paid",IF(I23=0,"Pending","Partial")))</f>
        <v/>
      </c>
      <c r="L23" s="6"/>
      <c r="M23" s="6"/>
      <c r="N23" s="6"/>
      <c r="O23" s="6"/>
      <c r="P23" s="6"/>
    </row>
    <row r="24" customFormat="false" ht="15" hidden="false" customHeight="false" outlineLevel="0" collapsed="false">
      <c r="A24" s="6"/>
      <c r="B24" s="6"/>
      <c r="C24" s="6"/>
      <c r="D24" s="6"/>
      <c r="E24" s="6"/>
      <c r="F24" s="6"/>
      <c r="G24" s="6"/>
      <c r="H24" s="7"/>
      <c r="I24" s="7"/>
      <c r="J24" s="8" t="str">
        <f aca="false">IF(H24="","",H24-I24)</f>
        <v/>
      </c>
      <c r="K24" s="9" t="str">
        <f aca="false">IF(H24="","",IF(J24&lt;=0,"Paid",IF(I24=0,"Pending","Partial")))</f>
        <v/>
      </c>
      <c r="L24" s="6"/>
      <c r="M24" s="6"/>
      <c r="N24" s="6"/>
      <c r="O24" s="6"/>
      <c r="P24" s="6"/>
    </row>
    <row r="25" customFormat="false" ht="15" hidden="false" customHeight="false" outlineLevel="0" collapsed="false">
      <c r="A25" s="6"/>
      <c r="B25" s="6"/>
      <c r="C25" s="6"/>
      <c r="D25" s="6"/>
      <c r="E25" s="6"/>
      <c r="F25" s="6"/>
      <c r="G25" s="6"/>
      <c r="H25" s="7"/>
      <c r="I25" s="7"/>
      <c r="J25" s="8" t="str">
        <f aca="false">IF(H25="","",H25-I25)</f>
        <v/>
      </c>
      <c r="K25" s="9" t="str">
        <f aca="false">IF(H25="","",IF(J25&lt;=0,"Paid",IF(I25=0,"Pending","Partial")))</f>
        <v/>
      </c>
      <c r="L25" s="6"/>
      <c r="M25" s="6"/>
      <c r="N25" s="6"/>
      <c r="O25" s="6"/>
      <c r="P25" s="6"/>
    </row>
    <row r="26" customFormat="false" ht="15" hidden="false" customHeight="false" outlineLevel="0" collapsed="false">
      <c r="A26" s="6"/>
      <c r="B26" s="6"/>
      <c r="C26" s="6"/>
      <c r="D26" s="6"/>
      <c r="E26" s="6"/>
      <c r="F26" s="6"/>
      <c r="G26" s="6"/>
      <c r="H26" s="7"/>
      <c r="I26" s="7"/>
      <c r="J26" s="8" t="str">
        <f aca="false">IF(H26="","",H26-I26)</f>
        <v/>
      </c>
      <c r="K26" s="9" t="str">
        <f aca="false">IF(H26="","",IF(J26&lt;=0,"Paid",IF(I26=0,"Pending","Partial")))</f>
        <v/>
      </c>
      <c r="L26" s="6"/>
      <c r="M26" s="6"/>
      <c r="N26" s="6"/>
      <c r="O26" s="6"/>
      <c r="P26" s="6"/>
    </row>
    <row r="27" customFormat="false" ht="15" hidden="false" customHeight="false" outlineLevel="0" collapsed="false">
      <c r="A27" s="6"/>
      <c r="B27" s="6"/>
      <c r="C27" s="6"/>
      <c r="D27" s="6"/>
      <c r="E27" s="6"/>
      <c r="F27" s="6"/>
      <c r="G27" s="6"/>
      <c r="H27" s="7"/>
      <c r="I27" s="7"/>
      <c r="J27" s="8" t="str">
        <f aca="false">IF(H27="","",H27-I27)</f>
        <v/>
      </c>
      <c r="K27" s="9" t="str">
        <f aca="false">IF(H27="","",IF(J27&lt;=0,"Paid",IF(I27=0,"Pending","Partial")))</f>
        <v/>
      </c>
      <c r="L27" s="6"/>
      <c r="M27" s="6"/>
      <c r="N27" s="6"/>
      <c r="O27" s="6"/>
      <c r="P27" s="6"/>
    </row>
    <row r="28" customFormat="false" ht="15" hidden="false" customHeight="false" outlineLevel="0" collapsed="false">
      <c r="A28" s="6"/>
      <c r="B28" s="6"/>
      <c r="C28" s="6"/>
      <c r="D28" s="6"/>
      <c r="E28" s="6"/>
      <c r="F28" s="6"/>
      <c r="G28" s="6"/>
      <c r="H28" s="7"/>
      <c r="I28" s="7"/>
      <c r="J28" s="8" t="str">
        <f aca="false">IF(H28="","",H28-I28)</f>
        <v/>
      </c>
      <c r="K28" s="9" t="str">
        <f aca="false">IF(H28="","",IF(J28&lt;=0,"Paid",IF(I28=0,"Pending","Partial")))</f>
        <v/>
      </c>
      <c r="L28" s="6"/>
      <c r="M28" s="6"/>
      <c r="N28" s="6"/>
      <c r="O28" s="6"/>
      <c r="P28" s="6"/>
    </row>
    <row r="29" customFormat="false" ht="15" hidden="false" customHeight="false" outlineLevel="0" collapsed="false">
      <c r="A29" s="6"/>
      <c r="B29" s="6"/>
      <c r="C29" s="6"/>
      <c r="D29" s="6"/>
      <c r="E29" s="6"/>
      <c r="F29" s="6"/>
      <c r="G29" s="6"/>
      <c r="H29" s="7"/>
      <c r="I29" s="7"/>
      <c r="J29" s="8" t="str">
        <f aca="false">IF(H29="","",H29-I29)</f>
        <v/>
      </c>
      <c r="K29" s="9" t="str">
        <f aca="false">IF(H29="","",IF(J29&lt;=0,"Paid",IF(I29=0,"Pending","Partial")))</f>
        <v/>
      </c>
      <c r="L29" s="6"/>
      <c r="M29" s="6"/>
      <c r="N29" s="6"/>
      <c r="O29" s="6"/>
      <c r="P29" s="6"/>
    </row>
    <row r="30" customFormat="false" ht="15" hidden="false" customHeight="false" outlineLevel="0" collapsed="false">
      <c r="A30" s="6"/>
      <c r="B30" s="6"/>
      <c r="C30" s="6"/>
      <c r="D30" s="6"/>
      <c r="E30" s="6"/>
      <c r="F30" s="6"/>
      <c r="G30" s="6"/>
      <c r="H30" s="7"/>
      <c r="I30" s="7"/>
      <c r="J30" s="8" t="str">
        <f aca="false">IF(H30="","",H30-I30)</f>
        <v/>
      </c>
      <c r="K30" s="9" t="str">
        <f aca="false">IF(H30="","",IF(J30&lt;=0,"Paid",IF(I30=0,"Pending","Partial")))</f>
        <v/>
      </c>
      <c r="L30" s="6"/>
      <c r="M30" s="6"/>
      <c r="N30" s="6"/>
      <c r="O30" s="6"/>
      <c r="P30" s="6"/>
    </row>
    <row r="31" customFormat="false" ht="15" hidden="false" customHeight="false" outlineLevel="0" collapsed="false">
      <c r="A31" s="6"/>
      <c r="B31" s="6"/>
      <c r="C31" s="6"/>
      <c r="D31" s="6"/>
      <c r="E31" s="6"/>
      <c r="F31" s="6"/>
      <c r="G31" s="6"/>
      <c r="H31" s="7"/>
      <c r="I31" s="7"/>
      <c r="J31" s="8" t="str">
        <f aca="false">IF(H31="","",H31-I31)</f>
        <v/>
      </c>
      <c r="K31" s="9" t="str">
        <f aca="false">IF(H31="","",IF(J31&lt;=0,"Paid",IF(I31=0,"Pending","Partial")))</f>
        <v/>
      </c>
      <c r="L31" s="6"/>
      <c r="M31" s="6"/>
      <c r="N31" s="6"/>
      <c r="O31" s="6"/>
      <c r="P31" s="6"/>
    </row>
    <row r="32" customFormat="false" ht="15" hidden="false" customHeight="false" outlineLevel="0" collapsed="false">
      <c r="A32" s="6"/>
      <c r="B32" s="6"/>
      <c r="C32" s="6"/>
      <c r="D32" s="6"/>
      <c r="E32" s="6"/>
      <c r="F32" s="6"/>
      <c r="G32" s="6"/>
      <c r="H32" s="7"/>
      <c r="I32" s="7"/>
      <c r="J32" s="8" t="str">
        <f aca="false">IF(H32="","",H32-I32)</f>
        <v/>
      </c>
      <c r="K32" s="9" t="str">
        <f aca="false">IF(H32="","",IF(J32&lt;=0,"Paid",IF(I32=0,"Pending","Partial")))</f>
        <v/>
      </c>
      <c r="L32" s="6"/>
      <c r="M32" s="6"/>
      <c r="N32" s="6"/>
      <c r="O32" s="6"/>
      <c r="P32" s="6"/>
    </row>
    <row r="33" customFormat="false" ht="15" hidden="false" customHeight="false" outlineLevel="0" collapsed="false">
      <c r="A33" s="6"/>
      <c r="B33" s="6"/>
      <c r="C33" s="6"/>
      <c r="D33" s="6"/>
      <c r="E33" s="6"/>
      <c r="F33" s="6"/>
      <c r="G33" s="6"/>
      <c r="H33" s="7"/>
      <c r="I33" s="7"/>
      <c r="J33" s="8" t="str">
        <f aca="false">IF(H33="","",H33-I33)</f>
        <v/>
      </c>
      <c r="K33" s="9" t="str">
        <f aca="false">IF(H33="","",IF(J33&lt;=0,"Paid",IF(I33=0,"Pending","Partial")))</f>
        <v/>
      </c>
      <c r="L33" s="6"/>
      <c r="M33" s="6"/>
      <c r="N33" s="6"/>
      <c r="O33" s="6"/>
      <c r="P33" s="6"/>
    </row>
    <row r="34" customFormat="false" ht="15" hidden="false" customHeight="false" outlineLevel="0" collapsed="false">
      <c r="A34" s="6"/>
      <c r="B34" s="6"/>
      <c r="C34" s="6"/>
      <c r="D34" s="6"/>
      <c r="E34" s="6"/>
      <c r="F34" s="6"/>
      <c r="G34" s="6"/>
      <c r="H34" s="7"/>
      <c r="I34" s="7"/>
      <c r="J34" s="8" t="str">
        <f aca="false">IF(H34="","",H34-I34)</f>
        <v/>
      </c>
      <c r="K34" s="9" t="str">
        <f aca="false">IF(H34="","",IF(J34&lt;=0,"Paid",IF(I34=0,"Pending","Partial")))</f>
        <v/>
      </c>
      <c r="L34" s="6"/>
      <c r="M34" s="6"/>
      <c r="N34" s="6"/>
      <c r="O34" s="6"/>
      <c r="P34" s="6"/>
    </row>
    <row r="35" customFormat="false" ht="15" hidden="false" customHeight="false" outlineLevel="0" collapsed="false">
      <c r="A35" s="6"/>
      <c r="B35" s="6"/>
      <c r="C35" s="6"/>
      <c r="D35" s="6"/>
      <c r="E35" s="6"/>
      <c r="F35" s="6"/>
      <c r="G35" s="6"/>
      <c r="H35" s="7"/>
      <c r="I35" s="7"/>
      <c r="J35" s="8" t="str">
        <f aca="false">IF(H35="","",H35-I35)</f>
        <v/>
      </c>
      <c r="K35" s="9" t="str">
        <f aca="false">IF(H35="","",IF(J35&lt;=0,"Paid",IF(I35=0,"Pending","Partial")))</f>
        <v/>
      </c>
      <c r="L35" s="6"/>
      <c r="M35" s="6"/>
      <c r="N35" s="6"/>
      <c r="O35" s="6"/>
      <c r="P35" s="6"/>
    </row>
    <row r="36" customFormat="false" ht="15" hidden="false" customHeight="false" outlineLevel="0" collapsed="false">
      <c r="A36" s="6"/>
      <c r="B36" s="6"/>
      <c r="C36" s="6"/>
      <c r="D36" s="6"/>
      <c r="E36" s="6"/>
      <c r="F36" s="6"/>
      <c r="G36" s="6"/>
      <c r="H36" s="7"/>
      <c r="I36" s="7"/>
      <c r="J36" s="8" t="str">
        <f aca="false">IF(H36="","",H36-I36)</f>
        <v/>
      </c>
      <c r="K36" s="9" t="str">
        <f aca="false">IF(H36="","",IF(J36&lt;=0,"Paid",IF(I36=0,"Pending","Partial")))</f>
        <v/>
      </c>
      <c r="L36" s="6"/>
      <c r="M36" s="6"/>
      <c r="N36" s="6"/>
      <c r="O36" s="6"/>
      <c r="P36" s="6"/>
    </row>
    <row r="37" customFormat="false" ht="15" hidden="false" customHeight="false" outlineLevel="0" collapsed="false">
      <c r="A37" s="6"/>
      <c r="B37" s="6"/>
      <c r="C37" s="6"/>
      <c r="D37" s="6"/>
      <c r="E37" s="6"/>
      <c r="F37" s="6"/>
      <c r="G37" s="6"/>
      <c r="H37" s="7"/>
      <c r="I37" s="7"/>
      <c r="J37" s="8" t="str">
        <f aca="false">IF(H37="","",H37-I37)</f>
        <v/>
      </c>
      <c r="K37" s="9" t="str">
        <f aca="false">IF(H37="","",IF(J37&lt;=0,"Paid",IF(I37=0,"Pending","Partial")))</f>
        <v/>
      </c>
      <c r="L37" s="6"/>
      <c r="M37" s="6"/>
      <c r="N37" s="6"/>
      <c r="O37" s="6"/>
      <c r="P37" s="6"/>
    </row>
    <row r="38" customFormat="false" ht="15" hidden="false" customHeight="false" outlineLevel="0" collapsed="false">
      <c r="A38" s="6"/>
      <c r="B38" s="6"/>
      <c r="C38" s="6"/>
      <c r="D38" s="6"/>
      <c r="E38" s="6"/>
      <c r="F38" s="6"/>
      <c r="G38" s="6"/>
      <c r="H38" s="7"/>
      <c r="I38" s="7"/>
      <c r="J38" s="8" t="str">
        <f aca="false">IF(H38="","",H38-I38)</f>
        <v/>
      </c>
      <c r="K38" s="9" t="str">
        <f aca="false">IF(H38="","",IF(J38&lt;=0,"Paid",IF(I38=0,"Pending","Partial")))</f>
        <v/>
      </c>
      <c r="L38" s="6"/>
      <c r="M38" s="6"/>
      <c r="N38" s="6"/>
      <c r="O38" s="6"/>
      <c r="P38" s="6"/>
    </row>
    <row r="39" customFormat="false" ht="15" hidden="false" customHeight="false" outlineLevel="0" collapsed="false">
      <c r="A39" s="6"/>
      <c r="B39" s="6"/>
      <c r="C39" s="6"/>
      <c r="D39" s="6"/>
      <c r="E39" s="6"/>
      <c r="F39" s="6"/>
      <c r="G39" s="6"/>
      <c r="H39" s="7"/>
      <c r="I39" s="7"/>
      <c r="J39" s="8" t="str">
        <f aca="false">IF(H39="","",H39-I39)</f>
        <v/>
      </c>
      <c r="K39" s="9" t="str">
        <f aca="false">IF(H39="","",IF(J39&lt;=0,"Paid",IF(I39=0,"Pending","Partial")))</f>
        <v/>
      </c>
      <c r="L39" s="6"/>
      <c r="M39" s="6"/>
      <c r="N39" s="6"/>
      <c r="O39" s="6"/>
      <c r="P39" s="6"/>
    </row>
    <row r="40" customFormat="false" ht="15" hidden="false" customHeight="false" outlineLevel="0" collapsed="false">
      <c r="A40" s="6"/>
      <c r="B40" s="6"/>
      <c r="C40" s="6"/>
      <c r="D40" s="6"/>
      <c r="E40" s="6"/>
      <c r="F40" s="6"/>
      <c r="G40" s="6"/>
      <c r="H40" s="7"/>
      <c r="I40" s="7"/>
      <c r="J40" s="8" t="str">
        <f aca="false">IF(H40="","",H40-I40)</f>
        <v/>
      </c>
      <c r="K40" s="9" t="str">
        <f aca="false">IF(H40="","",IF(J40&lt;=0,"Paid",IF(I40=0,"Pending","Partial")))</f>
        <v/>
      </c>
      <c r="L40" s="6"/>
      <c r="M40" s="6"/>
      <c r="N40" s="6"/>
      <c r="O40" s="6"/>
      <c r="P40" s="6"/>
    </row>
    <row r="41" customFormat="false" ht="15" hidden="false" customHeight="false" outlineLevel="0" collapsed="false">
      <c r="A41" s="6"/>
      <c r="B41" s="6"/>
      <c r="C41" s="6"/>
      <c r="D41" s="6"/>
      <c r="E41" s="6"/>
      <c r="F41" s="6"/>
      <c r="G41" s="6"/>
      <c r="H41" s="7"/>
      <c r="I41" s="7"/>
      <c r="J41" s="8" t="str">
        <f aca="false">IF(H41="","",H41-I41)</f>
        <v/>
      </c>
      <c r="K41" s="9" t="str">
        <f aca="false">IF(H41="","",IF(J41&lt;=0,"Paid",IF(I41=0,"Pending","Partial")))</f>
        <v/>
      </c>
      <c r="L41" s="6"/>
      <c r="M41" s="6"/>
      <c r="N41" s="6"/>
      <c r="O41" s="6"/>
      <c r="P41" s="6"/>
    </row>
    <row r="42" customFormat="false" ht="15" hidden="false" customHeight="false" outlineLevel="0" collapsed="false">
      <c r="A42" s="6"/>
      <c r="B42" s="6"/>
      <c r="C42" s="6"/>
      <c r="D42" s="6"/>
      <c r="E42" s="6"/>
      <c r="F42" s="6"/>
      <c r="G42" s="6"/>
      <c r="H42" s="7"/>
      <c r="I42" s="7"/>
      <c r="J42" s="8" t="str">
        <f aca="false">IF(H42="","",H42-I42)</f>
        <v/>
      </c>
      <c r="K42" s="9" t="str">
        <f aca="false">IF(H42="","",IF(J42&lt;=0,"Paid",IF(I42=0,"Pending","Partial")))</f>
        <v/>
      </c>
      <c r="L42" s="6"/>
      <c r="M42" s="6"/>
      <c r="N42" s="6"/>
      <c r="O42" s="6"/>
      <c r="P42" s="6"/>
    </row>
    <row r="43" customFormat="false" ht="15" hidden="false" customHeight="false" outlineLevel="0" collapsed="false">
      <c r="A43" s="6"/>
      <c r="B43" s="6"/>
      <c r="C43" s="6"/>
      <c r="D43" s="6"/>
      <c r="E43" s="6"/>
      <c r="F43" s="6"/>
      <c r="G43" s="6"/>
      <c r="H43" s="7"/>
      <c r="I43" s="7"/>
      <c r="J43" s="8" t="str">
        <f aca="false">IF(H43="","",H43-I43)</f>
        <v/>
      </c>
      <c r="K43" s="9" t="str">
        <f aca="false">IF(H43="","",IF(J43&lt;=0,"Paid",IF(I43=0,"Pending","Partial")))</f>
        <v/>
      </c>
      <c r="L43" s="6"/>
      <c r="M43" s="6"/>
      <c r="N43" s="6"/>
      <c r="O43" s="6"/>
      <c r="P43" s="6"/>
    </row>
    <row r="44" customFormat="false" ht="15" hidden="false" customHeight="false" outlineLevel="0" collapsed="false">
      <c r="A44" s="6"/>
      <c r="B44" s="6"/>
      <c r="C44" s="6"/>
      <c r="D44" s="6"/>
      <c r="E44" s="6"/>
      <c r="F44" s="6"/>
      <c r="G44" s="6"/>
      <c r="H44" s="7"/>
      <c r="I44" s="7"/>
      <c r="J44" s="8" t="str">
        <f aca="false">IF(H44="","",H44-I44)</f>
        <v/>
      </c>
      <c r="K44" s="9" t="str">
        <f aca="false">IF(H44="","",IF(J44&lt;=0,"Paid",IF(I44=0,"Pending","Partial")))</f>
        <v/>
      </c>
      <c r="L44" s="6"/>
      <c r="M44" s="6"/>
      <c r="N44" s="6"/>
      <c r="O44" s="6"/>
      <c r="P44" s="6"/>
    </row>
    <row r="45" customFormat="false" ht="15" hidden="false" customHeight="false" outlineLevel="0" collapsed="false">
      <c r="A45" s="6"/>
      <c r="B45" s="6"/>
      <c r="C45" s="6"/>
      <c r="D45" s="6"/>
      <c r="E45" s="6"/>
      <c r="F45" s="6"/>
      <c r="G45" s="6"/>
      <c r="H45" s="7"/>
      <c r="I45" s="7"/>
      <c r="J45" s="8" t="str">
        <f aca="false">IF(H45="","",H45-I45)</f>
        <v/>
      </c>
      <c r="K45" s="9" t="str">
        <f aca="false">IF(H45="","",IF(J45&lt;=0,"Paid",IF(I45=0,"Pending","Partial")))</f>
        <v/>
      </c>
      <c r="L45" s="6"/>
      <c r="M45" s="6"/>
      <c r="N45" s="6"/>
      <c r="O45" s="6"/>
      <c r="P45" s="6"/>
    </row>
    <row r="46" customFormat="false" ht="15" hidden="false" customHeight="false" outlineLevel="0" collapsed="false">
      <c r="A46" s="6"/>
      <c r="B46" s="6"/>
      <c r="C46" s="6"/>
      <c r="D46" s="6"/>
      <c r="E46" s="6"/>
      <c r="F46" s="6"/>
      <c r="G46" s="6"/>
      <c r="H46" s="7"/>
      <c r="I46" s="7"/>
      <c r="J46" s="8" t="str">
        <f aca="false">IF(H46="","",H46-I46)</f>
        <v/>
      </c>
      <c r="K46" s="9" t="str">
        <f aca="false">IF(H46="","",IF(J46&lt;=0,"Paid",IF(I46=0,"Pending","Partial")))</f>
        <v/>
      </c>
      <c r="L46" s="6"/>
      <c r="M46" s="6"/>
      <c r="N46" s="6"/>
      <c r="O46" s="6"/>
      <c r="P46" s="6"/>
    </row>
    <row r="47" customFormat="false" ht="15" hidden="false" customHeight="false" outlineLevel="0" collapsed="false">
      <c r="A47" s="6"/>
      <c r="B47" s="6"/>
      <c r="C47" s="6"/>
      <c r="D47" s="6"/>
      <c r="E47" s="6"/>
      <c r="F47" s="6"/>
      <c r="G47" s="6"/>
      <c r="H47" s="7"/>
      <c r="I47" s="7"/>
      <c r="J47" s="8" t="str">
        <f aca="false">IF(H47="","",H47-I47)</f>
        <v/>
      </c>
      <c r="K47" s="9" t="str">
        <f aca="false">IF(H47="","",IF(J47&lt;=0,"Paid",IF(I47=0,"Pending","Partial")))</f>
        <v/>
      </c>
      <c r="L47" s="6"/>
      <c r="M47" s="6"/>
      <c r="N47" s="6"/>
      <c r="O47" s="6"/>
      <c r="P47" s="6"/>
    </row>
    <row r="48" customFormat="false" ht="15" hidden="false" customHeight="false" outlineLevel="0" collapsed="false">
      <c r="A48" s="6"/>
      <c r="B48" s="6"/>
      <c r="C48" s="6"/>
      <c r="D48" s="6"/>
      <c r="E48" s="6"/>
      <c r="F48" s="6"/>
      <c r="G48" s="6"/>
      <c r="H48" s="7"/>
      <c r="I48" s="7"/>
      <c r="J48" s="8" t="str">
        <f aca="false">IF(H48="","",H48-I48)</f>
        <v/>
      </c>
      <c r="K48" s="9" t="str">
        <f aca="false">IF(H48="","",IF(J48&lt;=0,"Paid",IF(I48=0,"Pending","Partial")))</f>
        <v/>
      </c>
      <c r="L48" s="6"/>
      <c r="M48" s="6"/>
      <c r="N48" s="6"/>
      <c r="O48" s="6"/>
      <c r="P48" s="6"/>
    </row>
    <row r="49" customFormat="false" ht="15" hidden="false" customHeight="false" outlineLevel="0" collapsed="false">
      <c r="A49" s="6"/>
      <c r="B49" s="6"/>
      <c r="C49" s="6"/>
      <c r="D49" s="6"/>
      <c r="E49" s="6"/>
      <c r="F49" s="6"/>
      <c r="G49" s="6"/>
      <c r="H49" s="7"/>
      <c r="I49" s="7"/>
      <c r="J49" s="8" t="str">
        <f aca="false">IF(H49="","",H49-I49)</f>
        <v/>
      </c>
      <c r="K49" s="9" t="str">
        <f aca="false">IF(H49="","",IF(J49&lt;=0,"Paid",IF(I49=0,"Pending","Partial")))</f>
        <v/>
      </c>
      <c r="L49" s="6"/>
      <c r="M49" s="6"/>
      <c r="N49" s="6"/>
      <c r="O49" s="6"/>
      <c r="P49" s="6"/>
    </row>
    <row r="52" customFormat="false" ht="15" hidden="false" customHeight="false" outlineLevel="0" collapsed="false">
      <c r="A52" s="2" t="s">
        <v>33</v>
      </c>
    </row>
    <row r="53" customFormat="false" ht="15" hidden="false" customHeight="false" outlineLevel="0" collapsed="false">
      <c r="A53" s="10" t="s">
        <v>34</v>
      </c>
    </row>
    <row r="54" customFormat="false" ht="15" hidden="false" customHeight="false" outlineLevel="0" collapsed="false">
      <c r="A54" s="11" t="s">
        <v>35</v>
      </c>
    </row>
  </sheetData>
  <dataValidations count="3">
    <dataValidation allowBlank="true" errorStyle="stop" operator="between" showDropDown="false" showErrorMessage="false" showInputMessage="false" sqref="G10:G49" type="list">
      <formula1>"Code only,Code + Explanation,Code + Documentation,Full Package"</formula1>
      <formula2>0</formula2>
    </dataValidation>
    <dataValidation allowBlank="true" errorStyle="stop" operator="between" showDropDown="false" showErrorMessage="false" showInputMessage="false" sqref="E10:E49" type="list">
      <formula1>"Mini Project,Major Project"</formula1>
      <formula2>0</formula2>
    </dataValidation>
    <dataValidation allowBlank="true" errorStyle="stop" operator="between" showDropDown="false" showErrorMessage="false" showInputMessage="false" sqref="L10:L49" type="list">
      <formula1>"Not Started,In Progress,Delivered"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70"/>
    <col collapsed="false" customWidth="true" hidden="false" outlineLevel="0" max="3" min="3" style="0" width="10"/>
    <col collapsed="false" customWidth="true" hidden="false" outlineLevel="0" max="4" min="4" style="0" width="30"/>
  </cols>
  <sheetData>
    <row r="1" customFormat="false" ht="19.7" hidden="false" customHeight="false" outlineLevel="0" collapsed="false">
      <c r="A1" s="1" t="s">
        <v>36</v>
      </c>
    </row>
    <row r="2" customFormat="false" ht="15" hidden="false" customHeight="false" outlineLevel="0" collapsed="false">
      <c r="A2" s="12" t="s">
        <v>37</v>
      </c>
    </row>
    <row r="4" customFormat="false" ht="15" hidden="false" customHeight="false" outlineLevel="0" collapsed="false">
      <c r="A4" s="13" t="s">
        <v>38</v>
      </c>
      <c r="B4" s="13" t="s">
        <v>39</v>
      </c>
      <c r="C4" s="13" t="s">
        <v>40</v>
      </c>
      <c r="D4" s="13" t="s">
        <v>41</v>
      </c>
    </row>
    <row r="5" customFormat="false" ht="31.5" hidden="false" customHeight="true" outlineLevel="0" collapsed="false">
      <c r="A5" s="14" t="n">
        <v>1</v>
      </c>
      <c r="B5" s="15" t="s">
        <v>42</v>
      </c>
      <c r="C5" s="16"/>
      <c r="D5" s="16"/>
    </row>
    <row r="6" customFormat="false" ht="31.5" hidden="false" customHeight="true" outlineLevel="0" collapsed="false">
      <c r="A6" s="14" t="n">
        <v>2</v>
      </c>
      <c r="B6" s="15" t="s">
        <v>43</v>
      </c>
      <c r="C6" s="16"/>
      <c r="D6" s="16"/>
    </row>
    <row r="7" customFormat="false" ht="31.5" hidden="false" customHeight="true" outlineLevel="0" collapsed="false">
      <c r="A7" s="14" t="n">
        <v>3</v>
      </c>
      <c r="B7" s="15" t="s">
        <v>44</v>
      </c>
      <c r="C7" s="16"/>
      <c r="D7" s="16"/>
    </row>
    <row r="8" customFormat="false" ht="31.5" hidden="false" customHeight="true" outlineLevel="0" collapsed="false">
      <c r="A8" s="14" t="n">
        <v>4</v>
      </c>
      <c r="B8" s="15" t="s">
        <v>45</v>
      </c>
      <c r="C8" s="16"/>
      <c r="D8" s="16"/>
    </row>
    <row r="9" customFormat="false" ht="31.5" hidden="false" customHeight="true" outlineLevel="0" collapsed="false">
      <c r="A9" s="14" t="n">
        <v>5</v>
      </c>
      <c r="B9" s="15" t="s">
        <v>46</v>
      </c>
      <c r="C9" s="16"/>
      <c r="D9" s="16"/>
    </row>
    <row r="10" customFormat="false" ht="31.5" hidden="false" customHeight="true" outlineLevel="0" collapsed="false">
      <c r="A10" s="14" t="n">
        <v>6</v>
      </c>
      <c r="B10" s="15" t="s">
        <v>47</v>
      </c>
      <c r="C10" s="16"/>
      <c r="D10" s="16"/>
    </row>
    <row r="11" customFormat="false" ht="31.5" hidden="false" customHeight="true" outlineLevel="0" collapsed="false">
      <c r="A11" s="14" t="n">
        <v>7</v>
      </c>
      <c r="B11" s="15" t="s">
        <v>48</v>
      </c>
      <c r="C11" s="16"/>
      <c r="D11" s="16"/>
    </row>
    <row r="12" customFormat="false" ht="31.5" hidden="false" customHeight="true" outlineLevel="0" collapsed="false">
      <c r="A12" s="14" t="n">
        <v>8</v>
      </c>
      <c r="B12" s="15" t="s">
        <v>49</v>
      </c>
      <c r="C12" s="16"/>
      <c r="D12" s="16"/>
    </row>
    <row r="13" customFormat="false" ht="31.5" hidden="false" customHeight="true" outlineLevel="0" collapsed="false">
      <c r="A13" s="14" t="n">
        <v>9</v>
      </c>
      <c r="B13" s="15" t="s">
        <v>50</v>
      </c>
      <c r="C13" s="16"/>
      <c r="D13" s="16"/>
    </row>
    <row r="14" customFormat="false" ht="31.5" hidden="false" customHeight="true" outlineLevel="0" collapsed="false">
      <c r="A14" s="14" t="n">
        <v>10</v>
      </c>
      <c r="B14" s="15" t="s">
        <v>51</v>
      </c>
      <c r="C14" s="16"/>
      <c r="D14" s="16"/>
    </row>
    <row r="15" customFormat="false" ht="31.5" hidden="false" customHeight="true" outlineLevel="0" collapsed="false">
      <c r="A15" s="14" t="n">
        <v>11</v>
      </c>
      <c r="B15" s="15" t="s">
        <v>52</v>
      </c>
      <c r="C15" s="16"/>
      <c r="D15" s="16"/>
    </row>
    <row r="16" customFormat="false" ht="31.5" hidden="false" customHeight="true" outlineLevel="0" collapsed="false">
      <c r="A16" s="14" t="n">
        <v>12</v>
      </c>
      <c r="B16" s="15" t="s">
        <v>53</v>
      </c>
      <c r="C16" s="16"/>
      <c r="D16" s="16"/>
    </row>
    <row r="17" customFormat="false" ht="31.5" hidden="false" customHeight="true" outlineLevel="0" collapsed="false">
      <c r="A17" s="14" t="n">
        <v>13</v>
      </c>
      <c r="B17" s="15" t="s">
        <v>54</v>
      </c>
      <c r="C17" s="16"/>
      <c r="D17" s="16"/>
    </row>
  </sheetData>
  <dataValidations count="1">
    <dataValidation allowBlank="true" errorStyle="stop" operator="between" showDropDown="false" showErrorMessage="false" showInputMessage="false" sqref="C5:C17" type="list">
      <formula1>"No,Yes"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2026-07-19T17:40:23Z</dcterms:created>
  <dc:creator>openpyxl</dc:creator>
  <dc:description/>
  <dc:language>en-US</dc:language>
  <cp:lastModifiedBy/>
  <dcterms:modified xsi:type="dcterms:W3CDTF">2026-07-19T17:40:23Z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